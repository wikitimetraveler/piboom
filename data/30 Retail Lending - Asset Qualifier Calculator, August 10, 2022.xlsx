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rp.lan\Shares\PoliciesAndProcedures\1 STAGING\10828 CL, RL Portfolio Expanded - Asset Qualifier &amp; Bank Statement Calculators - Updated\"/>
    </mc:Choice>
  </mc:AlternateContent>
  <workbookProtection workbookAlgorithmName="SHA-512" workbookHashValue="oVPo2Wm0thySBu7fu/vZ8jyPeJ+twlNRE0LUdzVOquaY8poAQw2HDX0dvuFX5BST6t2zZX9nLPHRozwSDYLdRQ==" workbookSaltValue="6S4BEfUdALU1SBJTdFWN9A==" workbookSpinCount="100000" lockStructure="1"/>
  <bookViews>
    <workbookView xWindow="0" yWindow="0" windowWidth="30720" windowHeight="15360"/>
  </bookViews>
  <sheets>
    <sheet name="AQ Calculation Tool" sheetId="7" r:id="rId1"/>
  </sheets>
  <definedNames>
    <definedName name="_xlnm.Print_Area" localSheetId="0">'AQ Calculation Tool'!$A$1:$H$29</definedName>
    <definedName name="_xlnm.Print_Titles" localSheetId="0">'AQ Calculation Tool'!$1:$1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7" l="1"/>
  <c r="J3" i="7" l="1"/>
  <c r="P6" i="7" l="1"/>
  <c r="G17" i="7" s="1"/>
  <c r="H17" i="7" s="1"/>
  <c r="C32" i="7" l="1"/>
  <c r="J2" i="7" s="1"/>
  <c r="H22" i="7" l="1"/>
  <c r="P8" i="7" l="1"/>
  <c r="H16" i="7" l="1"/>
  <c r="H15" i="7" l="1"/>
  <c r="H19" i="7" s="1"/>
  <c r="H24" i="7" s="1"/>
  <c r="H28" i="7" l="1"/>
</calcChain>
</file>

<file path=xl/sharedStrings.xml><?xml version="1.0" encoding="utf-8"?>
<sst xmlns="http://schemas.openxmlformats.org/spreadsheetml/2006/main" count="33" uniqueCount="33">
  <si>
    <t>Borrower Name:</t>
  </si>
  <si>
    <t>Loan Details:</t>
  </si>
  <si>
    <t>Seller Name:</t>
  </si>
  <si>
    <t>Loan Underwriter</t>
  </si>
  <si>
    <t>Date:</t>
  </si>
  <si>
    <t>Qualified Asset Value</t>
  </si>
  <si>
    <t>Retirement Accounts (401(K), IRA, SEP, KEOUGH)</t>
  </si>
  <si>
    <t>Qualifying Ratio</t>
  </si>
  <si>
    <t>Total Residual Assets:</t>
  </si>
  <si>
    <t>Total Qualified Assets:</t>
  </si>
  <si>
    <t>Verified Assets:</t>
  </si>
  <si>
    <t>Borrower Specific Details:</t>
  </si>
  <si>
    <t>Asset Qualifier Calculator</t>
  </si>
  <si>
    <t>Asset Type:</t>
  </si>
  <si>
    <t>Bank Deposits (Checking, Savings, Money Market)</t>
  </si>
  <si>
    <t xml:space="preserve">Publicly Traded Stocks and Bonds </t>
  </si>
  <si>
    <t>Down Payment, Closing Costs &amp; Reserves</t>
  </si>
  <si>
    <t>Minimum Asset Check</t>
  </si>
  <si>
    <t>Loan #</t>
  </si>
  <si>
    <t>(Total Qualified Assets - Down Payment, Closing Costs &amp; Reserves)</t>
  </si>
  <si>
    <t>The Asset Qualifier Documentation Type uses a method of calculating monthly income by amortizing a borrower’s qualifying assets over a seven-year period with a 3% rate-of-return.</t>
  </si>
  <si>
    <t>12 Month Account History</t>
  </si>
  <si>
    <r>
      <t>Monthly Qualifying Income For Asset Qualifier:</t>
    </r>
    <r>
      <rPr>
        <b/>
        <sz val="9"/>
        <color theme="1"/>
        <rFont val="Calibri"/>
        <family val="2"/>
        <scheme val="minor"/>
      </rPr>
      <t xml:space="preserve"> (using a 3% Rate of Return over a 7 year period)</t>
    </r>
  </si>
  <si>
    <t>Borrower DOB:</t>
  </si>
  <si>
    <t>Borrower Age</t>
  </si>
  <si>
    <t>Any Non Borrowing Account Holders:</t>
  </si>
  <si>
    <t>Warning messages:</t>
  </si>
  <si>
    <t>Program Eligible:</t>
  </si>
  <si>
    <t>Asset Details:</t>
  </si>
  <si>
    <t xml:space="preserve">Loan &amp; Borrower Details: </t>
  </si>
  <si>
    <t>Summary:</t>
  </si>
  <si>
    <t>Asset Amount
(100% of Account $)</t>
  </si>
  <si>
    <t>Revised Date: 07.29.2022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</si>
</sst>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00000"/>
    <numFmt numFmtId="167" formatCode="&quot;$&quot;#,##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3" tint="-0.24997711111789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1618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8" tint="-0.2499465926084170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8" tint="-0.24994659260841701"/>
      </top>
      <bottom style="thin">
        <color auto="1"/>
      </bottom>
      <diagonal/>
    </border>
    <border>
      <left/>
      <right/>
      <top/>
      <bottom style="thin">
        <color theme="2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Protection="1"/>
    <xf numFmtId="0" fontId="0" fillId="0" borderId="1" xfId="0" applyBorder="1" applyProtection="1"/>
    <xf numFmtId="0" fontId="2" fillId="0" borderId="0" xfId="0" applyFont="1" applyFill="1" applyBorder="1" applyAlignment="1" applyProtection="1">
      <alignment horizontal="left"/>
    </xf>
    <xf numFmtId="0" fontId="0" fillId="0" borderId="0" xfId="0" applyBorder="1" applyProtection="1"/>
    <xf numFmtId="0" fontId="2" fillId="0" borderId="0" xfId="0" applyFont="1" applyFill="1" applyBorder="1" applyAlignment="1" applyProtection="1"/>
    <xf numFmtId="0" fontId="2" fillId="4" borderId="0" xfId="0" applyFont="1" applyFill="1" applyBorder="1" applyAlignment="1" applyProtection="1"/>
    <xf numFmtId="164" fontId="0" fillId="0" borderId="0" xfId="0" applyNumberFormat="1" applyProtection="1"/>
    <xf numFmtId="0" fontId="0" fillId="4" borderId="0" xfId="0" applyFill="1" applyBorder="1" applyProtection="1"/>
    <xf numFmtId="0" fontId="0" fillId="0" borderId="0" xfId="0" applyFill="1" applyBorder="1" applyProtection="1"/>
    <xf numFmtId="164" fontId="2" fillId="4" borderId="0" xfId="0" applyNumberFormat="1" applyFont="1" applyFill="1" applyBorder="1" applyProtection="1"/>
    <xf numFmtId="0" fontId="2" fillId="4" borderId="0" xfId="0" applyFont="1" applyFill="1" applyBorder="1" applyProtection="1"/>
    <xf numFmtId="0" fontId="0" fillId="0" borderId="1" xfId="0" applyFill="1" applyBorder="1" applyProtection="1"/>
    <xf numFmtId="164" fontId="0" fillId="0" borderId="0" xfId="1" applyNumberFormat="1" applyFont="1" applyFill="1" applyBorder="1" applyAlignment="1" applyProtection="1">
      <alignment horizontal="right"/>
    </xf>
    <xf numFmtId="0" fontId="8" fillId="4" borderId="0" xfId="0" applyFont="1" applyFill="1" applyBorder="1" applyProtection="1"/>
    <xf numFmtId="164" fontId="2" fillId="0" borderId="0" xfId="0" applyNumberFormat="1" applyFont="1" applyFill="1" applyBorder="1" applyProtection="1"/>
    <xf numFmtId="0" fontId="4" fillId="0" borderId="1" xfId="0" applyFont="1" applyFill="1" applyBorder="1" applyProtection="1"/>
    <xf numFmtId="0" fontId="0" fillId="2" borderId="0" xfId="0" applyFill="1" applyBorder="1" applyProtection="1"/>
    <xf numFmtId="165" fontId="0" fillId="0" borderId="0" xfId="1" applyNumberFormat="1" applyFont="1" applyFill="1" applyBorder="1" applyAlignment="1" applyProtection="1">
      <alignment horizontal="center"/>
    </xf>
    <xf numFmtId="0" fontId="6" fillId="4" borderId="0" xfId="0" applyFont="1" applyFill="1" applyBorder="1" applyProtection="1"/>
    <xf numFmtId="0" fontId="0" fillId="0" borderId="0" xfId="0" applyBorder="1" applyAlignment="1" applyProtection="1">
      <alignment horizontal="left"/>
    </xf>
    <xf numFmtId="165" fontId="0" fillId="0" borderId="0" xfId="1" applyNumberFormat="1" applyFont="1" applyFill="1" applyBorder="1" applyAlignment="1" applyProtection="1">
      <alignment horizontal="left"/>
    </xf>
    <xf numFmtId="166" fontId="0" fillId="0" borderId="0" xfId="0" applyNumberFormat="1" applyProtection="1"/>
    <xf numFmtId="164" fontId="2" fillId="4" borderId="0" xfId="0" applyNumberFormat="1" applyFont="1" applyFill="1" applyBorder="1" applyAlignment="1" applyProtection="1">
      <alignment horizontal="center"/>
    </xf>
    <xf numFmtId="0" fontId="2" fillId="5" borderId="0" xfId="0" applyFont="1" applyFill="1" applyBorder="1" applyAlignment="1" applyProtection="1">
      <alignment horizontal="right"/>
    </xf>
    <xf numFmtId="0" fontId="14" fillId="5" borderId="10" xfId="0" applyFont="1" applyFill="1" applyBorder="1" applyAlignment="1" applyProtection="1">
      <alignment vertical="center"/>
    </xf>
    <xf numFmtId="0" fontId="6" fillId="0" borderId="10" xfId="0" applyFont="1" applyFill="1" applyBorder="1" applyProtection="1"/>
    <xf numFmtId="0" fontId="3" fillId="0" borderId="1" xfId="0" applyFont="1" applyFill="1" applyBorder="1" applyProtection="1"/>
    <xf numFmtId="14" fontId="14" fillId="5" borderId="10" xfId="0" applyNumberFormat="1" applyFont="1" applyFill="1" applyBorder="1" applyAlignment="1" applyProtection="1">
      <alignment vertical="center"/>
    </xf>
    <xf numFmtId="0" fontId="2" fillId="0" borderId="11" xfId="0" applyFont="1" applyFill="1" applyBorder="1" applyAlignment="1" applyProtection="1">
      <alignment horizontal="left" vertical="center" indent="1"/>
    </xf>
    <xf numFmtId="0" fontId="14" fillId="5" borderId="0" xfId="0" applyFont="1" applyFill="1" applyBorder="1" applyAlignment="1" applyProtection="1">
      <alignment vertical="center"/>
    </xf>
    <xf numFmtId="0" fontId="9" fillId="0" borderId="0" xfId="0" applyFont="1" applyFill="1" applyBorder="1" applyProtection="1"/>
    <xf numFmtId="0" fontId="2" fillId="0" borderId="0" xfId="0" applyFont="1" applyFill="1" applyBorder="1" applyProtection="1"/>
    <xf numFmtId="0" fontId="7" fillId="4" borderId="0" xfId="0" applyFont="1" applyFill="1" applyBorder="1" applyProtection="1"/>
    <xf numFmtId="0" fontId="14" fillId="0" borderId="10" xfId="0" applyFont="1" applyFill="1" applyBorder="1" applyProtection="1"/>
    <xf numFmtId="0" fontId="15" fillId="2" borderId="9" xfId="0" applyFont="1" applyFill="1" applyBorder="1" applyProtection="1"/>
    <xf numFmtId="0" fontId="16" fillId="2" borderId="9" xfId="0" applyFont="1" applyFill="1" applyBorder="1" applyProtection="1"/>
    <xf numFmtId="0" fontId="15" fillId="2" borderId="9" xfId="0" applyFont="1" applyFill="1" applyBorder="1" applyAlignment="1" applyProtection="1">
      <alignment horizontal="center" wrapText="1"/>
    </xf>
    <xf numFmtId="0" fontId="15" fillId="2" borderId="12" xfId="0" applyFont="1" applyFill="1" applyBorder="1" applyAlignment="1" applyProtection="1">
      <alignment horizontal="center" wrapText="1"/>
    </xf>
    <xf numFmtId="165" fontId="0" fillId="3" borderId="13" xfId="1" applyNumberFormat="1" applyFont="1" applyFill="1" applyBorder="1" applyAlignment="1" applyProtection="1">
      <alignment horizontal="center"/>
      <protection locked="0"/>
    </xf>
    <xf numFmtId="165" fontId="2" fillId="3" borderId="2" xfId="1" applyNumberFormat="1" applyFont="1" applyFill="1" applyBorder="1" applyAlignment="1" applyProtection="1">
      <alignment horizontal="center"/>
      <protection locked="0"/>
    </xf>
    <xf numFmtId="0" fontId="0" fillId="0" borderId="16" xfId="0" applyBorder="1" applyProtection="1"/>
    <xf numFmtId="0" fontId="8" fillId="0" borderId="0" xfId="0" applyFont="1" applyBorder="1" applyAlignment="1" applyProtection="1">
      <alignment vertical="center" wrapText="1"/>
    </xf>
    <xf numFmtId="0" fontId="8" fillId="0" borderId="16" xfId="0" applyFont="1" applyBorder="1" applyAlignment="1" applyProtection="1">
      <alignment vertical="center" wrapText="1"/>
    </xf>
    <xf numFmtId="0" fontId="0" fillId="0" borderId="0" xfId="0" applyAlignment="1" applyProtection="1">
      <alignment vertical="center"/>
    </xf>
    <xf numFmtId="167" fontId="0" fillId="0" borderId="16" xfId="0" applyNumberFormat="1" applyBorder="1" applyProtection="1"/>
    <xf numFmtId="9" fontId="0" fillId="4" borderId="13" xfId="0" applyNumberFormat="1" applyFill="1" applyBorder="1" applyAlignment="1" applyProtection="1">
      <alignment horizontal="center"/>
    </xf>
    <xf numFmtId="164" fontId="0" fillId="4" borderId="13" xfId="1" applyNumberFormat="1" applyFont="1" applyFill="1" applyBorder="1" applyAlignment="1" applyProtection="1">
      <alignment horizontal="center"/>
    </xf>
    <xf numFmtId="9" fontId="0" fillId="4" borderId="13" xfId="2" applyNumberFormat="1" applyFont="1" applyFill="1" applyBorder="1" applyAlignment="1" applyProtection="1">
      <alignment horizontal="center"/>
    </xf>
    <xf numFmtId="0" fontId="0" fillId="0" borderId="0" xfId="0" applyAlignment="1">
      <alignment vertical="center"/>
    </xf>
    <xf numFmtId="0" fontId="18" fillId="0" borderId="0" xfId="0" applyFont="1" applyProtection="1"/>
    <xf numFmtId="0" fontId="18" fillId="0" borderId="0" xfId="0" applyFont="1" applyProtection="1">
      <protection hidden="1"/>
    </xf>
    <xf numFmtId="2" fontId="18" fillId="0" borderId="0" xfId="0" applyNumberFormat="1" applyFont="1" applyProtection="1">
      <protection hidden="1"/>
    </xf>
    <xf numFmtId="14" fontId="18" fillId="0" borderId="0" xfId="0" applyNumberFormat="1" applyFont="1" applyProtection="1">
      <protection hidden="1"/>
    </xf>
    <xf numFmtId="14" fontId="0" fillId="3" borderId="0" xfId="0" applyNumberFormat="1" applyFill="1" applyBorder="1" applyAlignment="1" applyProtection="1">
      <alignment horizontal="left"/>
      <protection locked="0"/>
    </xf>
    <xf numFmtId="0" fontId="0" fillId="3" borderId="14" xfId="0" applyFill="1" applyBorder="1" applyAlignment="1" applyProtection="1">
      <alignment horizontal="left"/>
      <protection locked="0"/>
    </xf>
    <xf numFmtId="0" fontId="0" fillId="3" borderId="13" xfId="0" applyFill="1" applyBorder="1" applyAlignment="1" applyProtection="1">
      <alignment horizontal="left"/>
      <protection locked="0"/>
    </xf>
    <xf numFmtId="0" fontId="11" fillId="0" borderId="7" xfId="0" applyFont="1" applyBorder="1" applyAlignment="1" applyProtection="1">
      <alignment horizontal="left" vertical="center"/>
    </xf>
    <xf numFmtId="0" fontId="11" fillId="0" borderId="8" xfId="0" applyFont="1" applyBorder="1" applyAlignment="1" applyProtection="1">
      <alignment horizontal="left" vertical="center"/>
    </xf>
    <xf numFmtId="0" fontId="0" fillId="3" borderId="14" xfId="0" applyFill="1" applyBorder="1" applyAlignment="1" applyProtection="1">
      <alignment horizontal="left"/>
      <protection locked="0"/>
    </xf>
    <xf numFmtId="0" fontId="0" fillId="3" borderId="13" xfId="0" applyFill="1" applyBorder="1" applyAlignment="1" applyProtection="1">
      <alignment horizontal="left"/>
      <protection locked="0"/>
    </xf>
    <xf numFmtId="0" fontId="11" fillId="0" borderId="4" xfId="0" applyFont="1" applyBorder="1" applyAlignment="1" applyProtection="1">
      <alignment horizontal="left" vertical="center"/>
    </xf>
    <xf numFmtId="0" fontId="11" fillId="0" borderId="5" xfId="0" applyFont="1" applyBorder="1" applyAlignment="1" applyProtection="1">
      <alignment horizontal="left" vertical="center"/>
    </xf>
    <xf numFmtId="0" fontId="10" fillId="5" borderId="3" xfId="0" applyFont="1" applyFill="1" applyBorder="1" applyAlignment="1" applyProtection="1">
      <alignment horizontal="center" vertical="center"/>
    </xf>
    <xf numFmtId="0" fontId="10" fillId="5" borderId="6" xfId="0" applyFont="1" applyFill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center"/>
    </xf>
    <xf numFmtId="0" fontId="17" fillId="2" borderId="15" xfId="0" applyFont="1" applyFill="1" applyBorder="1" applyAlignment="1" applyProtection="1">
      <alignment horizontal="center"/>
    </xf>
    <xf numFmtId="14" fontId="2" fillId="3" borderId="0" xfId="0" applyNumberFormat="1" applyFont="1" applyFill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 wrapText="1"/>
    </xf>
    <xf numFmtId="0" fontId="15" fillId="2" borderId="15" xfId="0" applyFont="1" applyFill="1" applyBorder="1" applyAlignment="1" applyProtection="1">
      <alignment horizontal="center"/>
    </xf>
    <xf numFmtId="0" fontId="0" fillId="3" borderId="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 vertical="center" wrapText="1"/>
    </xf>
    <xf numFmtId="0" fontId="8" fillId="0" borderId="16" xfId="0" applyFont="1" applyBorder="1" applyAlignment="1" applyProtection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C7CE"/>
      <color rgb="FF9C0006"/>
      <color rgb="FFFF5050"/>
      <color rgb="FF416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76201</xdr:colOff>
      <xdr:row>0</xdr:row>
      <xdr:rowOff>38100</xdr:rowOff>
    </xdr:from>
    <xdr:to>
      <xdr:col>10</xdr:col>
      <xdr:colOff>482601</xdr:colOff>
      <xdr:row>0</xdr:row>
      <xdr:rowOff>392059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1" y="38100"/>
          <a:ext cx="1085850" cy="353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showGridLines="0" tabSelected="1" topLeftCell="A154" zoomScale="90" zoomScaleNormal="90" zoomScaleSheetLayoutView="50" workbookViewId="0">
      <selection activeCell="C7" sqref="C7:D7"/>
    </sheetView>
  </sheetViews>
  <sheetFormatPr defaultColWidth="9.109375" defaultRowHeight="14.4" x14ac:dyDescent="0.3"/>
  <cols>
    <col min="1" max="1" width="3" style="1" customWidth="1"/>
    <col min="2" max="2" width="37.5546875" style="1" customWidth="1"/>
    <col min="3" max="3" width="11.33203125" style="1" customWidth="1"/>
    <col min="4" max="4" width="13" style="1" customWidth="1"/>
    <col min="5" max="5" width="2.6640625" style="1" customWidth="1"/>
    <col min="6" max="6" width="21.33203125" style="1" customWidth="1"/>
    <col min="7" max="7" width="21" style="1" customWidth="1"/>
    <col min="8" max="8" width="17.5546875" style="1" customWidth="1"/>
    <col min="9" max="9" width="17" style="1" customWidth="1"/>
    <col min="10" max="10" width="10.109375" style="1" bestFit="1" customWidth="1"/>
    <col min="11" max="11" width="9.6640625" style="1" bestFit="1" customWidth="1"/>
    <col min="12" max="15" width="9.109375" style="1"/>
    <col min="16" max="16" width="12.33203125" style="1" customWidth="1"/>
    <col min="17" max="17" width="13.5546875" style="1" customWidth="1"/>
    <col min="18" max="16384" width="9.109375" style="1"/>
  </cols>
  <sheetData>
    <row r="1" spans="1:16" ht="33" customHeight="1" x14ac:dyDescent="0.5">
      <c r="A1" s="4"/>
      <c r="B1" s="65" t="s">
        <v>12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6" ht="15.75" customHeight="1" x14ac:dyDescent="0.3">
      <c r="A2" s="4"/>
      <c r="B2" s="74" t="s">
        <v>20</v>
      </c>
      <c r="C2" s="74"/>
      <c r="D2" s="74"/>
      <c r="E2" s="74"/>
      <c r="F2" s="74"/>
      <c r="G2" s="74"/>
      <c r="H2" s="42"/>
      <c r="I2" s="24" t="s">
        <v>27</v>
      </c>
      <c r="J2" s="70" t="str">
        <f>IF(AND(C31="",C32=""),"Yes","No")</f>
        <v>No</v>
      </c>
      <c r="K2" s="70"/>
      <c r="P2" s="50"/>
    </row>
    <row r="3" spans="1:16" x14ac:dyDescent="0.3">
      <c r="A3" s="4"/>
      <c r="B3" s="74"/>
      <c r="C3" s="74"/>
      <c r="D3" s="74"/>
      <c r="E3" s="74"/>
      <c r="F3" s="74"/>
      <c r="G3" s="74"/>
      <c r="H3" s="42"/>
      <c r="I3" s="24" t="s">
        <v>4</v>
      </c>
      <c r="J3" s="68">
        <f ca="1">TODAY()</f>
        <v>44783</v>
      </c>
      <c r="K3" s="69"/>
      <c r="P3" s="50"/>
    </row>
    <row r="4" spans="1:16" x14ac:dyDescent="0.3">
      <c r="A4" s="4"/>
      <c r="B4" s="75"/>
      <c r="C4" s="75"/>
      <c r="D4" s="75"/>
      <c r="E4" s="75"/>
      <c r="F4" s="75"/>
      <c r="G4" s="75"/>
      <c r="H4" s="43"/>
      <c r="I4" s="41"/>
      <c r="J4" s="41"/>
      <c r="K4" s="41"/>
      <c r="P4" s="50"/>
    </row>
    <row r="5" spans="1:16" ht="21" customHeight="1" thickBot="1" x14ac:dyDescent="0.35">
      <c r="A5" s="30"/>
      <c r="B5" s="25" t="s">
        <v>29</v>
      </c>
      <c r="C5" s="25"/>
      <c r="D5" s="25"/>
      <c r="E5" s="30"/>
      <c r="F5" s="25"/>
      <c r="G5" s="28"/>
      <c r="H5" s="25"/>
      <c r="I5" s="4"/>
      <c r="J5" s="4"/>
      <c r="K5" s="4"/>
      <c r="P5" s="51" t="s">
        <v>24</v>
      </c>
    </row>
    <row r="6" spans="1:16" ht="21.75" customHeight="1" x14ac:dyDescent="0.3">
      <c r="A6" s="2"/>
      <c r="B6" s="35" t="s">
        <v>1</v>
      </c>
      <c r="C6" s="71"/>
      <c r="D6" s="71"/>
      <c r="E6" s="9"/>
      <c r="F6" s="35" t="s">
        <v>11</v>
      </c>
      <c r="G6" s="67"/>
      <c r="H6" s="67"/>
      <c r="I6" s="4"/>
      <c r="P6" s="52" t="str">
        <f>IF(H8="","",(J3-H8)/365)</f>
        <v/>
      </c>
    </row>
    <row r="7" spans="1:16" x14ac:dyDescent="0.3">
      <c r="A7" s="2"/>
      <c r="B7" s="29" t="s">
        <v>18</v>
      </c>
      <c r="C7" s="72"/>
      <c r="D7" s="72"/>
      <c r="E7" s="4"/>
      <c r="F7" s="29" t="s">
        <v>0</v>
      </c>
      <c r="G7" s="73"/>
      <c r="H7" s="73"/>
      <c r="I7" s="4"/>
      <c r="P7" s="53">
        <v>44531</v>
      </c>
    </row>
    <row r="8" spans="1:16" x14ac:dyDescent="0.3">
      <c r="A8" s="2"/>
      <c r="B8" s="29" t="s">
        <v>2</v>
      </c>
      <c r="C8" s="59"/>
      <c r="D8" s="59"/>
      <c r="E8" s="4"/>
      <c r="F8" s="29" t="s">
        <v>23</v>
      </c>
      <c r="G8" s="29"/>
      <c r="H8" s="54"/>
      <c r="I8" s="4"/>
      <c r="P8" s="51">
        <f>(P7-H8)/365</f>
        <v>122.0027397260274</v>
      </c>
    </row>
    <row r="9" spans="1:16" x14ac:dyDescent="0.3">
      <c r="A9" s="2"/>
      <c r="B9" s="29" t="s">
        <v>3</v>
      </c>
      <c r="C9" s="60"/>
      <c r="D9" s="60"/>
      <c r="E9" s="4"/>
      <c r="F9" s="29" t="s">
        <v>25</v>
      </c>
      <c r="G9" s="29"/>
      <c r="H9" s="55"/>
      <c r="I9" s="4"/>
      <c r="P9" s="50"/>
    </row>
    <row r="10" spans="1:16" x14ac:dyDescent="0.3">
      <c r="A10" s="2"/>
      <c r="B10" s="4"/>
      <c r="C10" s="4"/>
      <c r="D10" s="4"/>
      <c r="E10" s="4"/>
      <c r="F10" s="29" t="s">
        <v>21</v>
      </c>
      <c r="G10" s="29"/>
      <c r="H10" s="56"/>
      <c r="I10" s="4"/>
    </row>
    <row r="11" spans="1:16" x14ac:dyDescent="0.3">
      <c r="A11" s="2"/>
      <c r="B11" s="4"/>
      <c r="C11" s="4"/>
      <c r="D11" s="4"/>
      <c r="E11" s="4"/>
      <c r="F11" s="4"/>
      <c r="G11" s="4"/>
      <c r="H11" s="4"/>
      <c r="I11" s="4"/>
    </row>
    <row r="12" spans="1:16" ht="16.2" thickBot="1" x14ac:dyDescent="0.35">
      <c r="A12" s="30"/>
      <c r="B12" s="34" t="s">
        <v>28</v>
      </c>
      <c r="C12" s="26"/>
      <c r="D12" s="26"/>
      <c r="E12" s="26"/>
      <c r="F12" s="26"/>
      <c r="G12" s="26"/>
      <c r="H12" s="26"/>
      <c r="I12" s="4"/>
    </row>
    <row r="13" spans="1:16" ht="18" x14ac:dyDescent="0.35">
      <c r="A13" s="31"/>
      <c r="B13" s="33" t="s">
        <v>10</v>
      </c>
      <c r="C13" s="19"/>
      <c r="D13" s="19"/>
      <c r="E13" s="19"/>
      <c r="F13" s="19"/>
      <c r="G13" s="19"/>
      <c r="H13" s="19"/>
      <c r="I13" s="4"/>
    </row>
    <row r="14" spans="1:16" ht="31.5" customHeight="1" x14ac:dyDescent="0.35">
      <c r="A14" s="16"/>
      <c r="B14" s="35" t="s">
        <v>13</v>
      </c>
      <c r="C14" s="36"/>
      <c r="D14" s="37"/>
      <c r="E14" s="37"/>
      <c r="F14" s="38" t="s">
        <v>31</v>
      </c>
      <c r="G14" s="38" t="s">
        <v>7</v>
      </c>
      <c r="H14" s="38" t="s">
        <v>5</v>
      </c>
      <c r="I14" s="4"/>
    </row>
    <row r="15" spans="1:16" x14ac:dyDescent="0.3">
      <c r="A15" s="2"/>
      <c r="B15" s="29" t="s">
        <v>14</v>
      </c>
      <c r="C15" s="29"/>
      <c r="D15" s="29"/>
      <c r="E15" s="4"/>
      <c r="F15" s="39"/>
      <c r="G15" s="46">
        <v>1</v>
      </c>
      <c r="H15" s="47">
        <f>G15*F15</f>
        <v>0</v>
      </c>
      <c r="I15" s="4"/>
      <c r="P15" s="7"/>
    </row>
    <row r="16" spans="1:16" x14ac:dyDescent="0.3">
      <c r="A16" s="2"/>
      <c r="B16" s="29" t="s">
        <v>15</v>
      </c>
      <c r="C16" s="29"/>
      <c r="D16" s="29"/>
      <c r="E16" s="4"/>
      <c r="F16" s="39"/>
      <c r="G16" s="46">
        <v>0.7</v>
      </c>
      <c r="H16" s="47">
        <f>G16*F16</f>
        <v>0</v>
      </c>
      <c r="I16" s="4"/>
    </row>
    <row r="17" spans="1:11" x14ac:dyDescent="0.3">
      <c r="A17" s="2"/>
      <c r="B17" s="29" t="s">
        <v>6</v>
      </c>
      <c r="C17" s="29"/>
      <c r="D17" s="29"/>
      <c r="E17" s="4"/>
      <c r="F17" s="39"/>
      <c r="G17" s="48" t="str">
        <f ca="1">IF(J3="","",IF(H8="","",IF(P6&gt;56.9,100%,70%)))</f>
        <v/>
      </c>
      <c r="H17" s="47" t="str">
        <f ca="1">IF(G17="","",F17*G17)</f>
        <v/>
      </c>
      <c r="I17" s="4"/>
    </row>
    <row r="18" spans="1:11" ht="3.75" customHeight="1" x14ac:dyDescent="0.3">
      <c r="A18" s="2"/>
      <c r="B18" s="3"/>
      <c r="C18" s="20"/>
      <c r="D18" s="21"/>
      <c r="E18" s="18"/>
      <c r="F18" s="9"/>
      <c r="G18" s="9"/>
      <c r="H18" s="13"/>
      <c r="I18" s="4"/>
    </row>
    <row r="19" spans="1:11" x14ac:dyDescent="0.3">
      <c r="A19" s="2"/>
      <c r="B19" s="6" t="s">
        <v>9</v>
      </c>
      <c r="C19" s="8"/>
      <c r="D19" s="8"/>
      <c r="E19" s="8"/>
      <c r="F19" s="8"/>
      <c r="G19" s="8"/>
      <c r="H19" s="23">
        <f ca="1">SUM(H15:H17)</f>
        <v>0</v>
      </c>
      <c r="I19" s="4"/>
    </row>
    <row r="20" spans="1:11" x14ac:dyDescent="0.3">
      <c r="A20" s="2"/>
      <c r="B20" s="5"/>
      <c r="C20" s="9"/>
      <c r="D20" s="9"/>
      <c r="E20" s="9"/>
      <c r="F20" s="9"/>
      <c r="G20" s="9"/>
      <c r="H20" s="15"/>
      <c r="I20" s="4"/>
    </row>
    <row r="21" spans="1:11" x14ac:dyDescent="0.3">
      <c r="A21" s="2"/>
      <c r="B21" s="6" t="s">
        <v>16</v>
      </c>
      <c r="C21" s="8"/>
      <c r="D21" s="8"/>
      <c r="E21" s="8"/>
      <c r="F21" s="40"/>
      <c r="G21" s="8"/>
      <c r="H21" s="10"/>
      <c r="I21" s="4"/>
      <c r="K21" s="44"/>
    </row>
    <row r="22" spans="1:11" x14ac:dyDescent="0.3">
      <c r="A22" s="2"/>
      <c r="B22" s="5"/>
      <c r="C22" s="9"/>
      <c r="D22" s="9"/>
      <c r="E22" s="9"/>
      <c r="F22" s="9"/>
      <c r="G22" s="32" t="s">
        <v>17</v>
      </c>
      <c r="H22" s="23" t="str">
        <f>IF(SUM(F15:F17)-F21 &lt; 500000,"FAIL","PASS")</f>
        <v>FAIL</v>
      </c>
      <c r="I22" s="4"/>
    </row>
    <row r="23" spans="1:11" ht="21" customHeight="1" x14ac:dyDescent="0.3">
      <c r="A23" s="12"/>
      <c r="B23" s="5"/>
      <c r="C23" s="9"/>
      <c r="D23" s="9"/>
      <c r="E23" s="9"/>
      <c r="F23" s="9"/>
      <c r="G23" s="66"/>
      <c r="H23" s="66"/>
      <c r="I23" s="4"/>
    </row>
    <row r="24" spans="1:11" x14ac:dyDescent="0.3">
      <c r="A24" s="2"/>
      <c r="B24" s="6" t="s">
        <v>8</v>
      </c>
      <c r="C24" s="14" t="s">
        <v>19</v>
      </c>
      <c r="D24" s="8"/>
      <c r="E24" s="8"/>
      <c r="F24" s="8"/>
      <c r="G24" s="8"/>
      <c r="H24" s="23">
        <f ca="1">H19-F21</f>
        <v>0</v>
      </c>
      <c r="I24" s="4"/>
    </row>
    <row r="25" spans="1:11" x14ac:dyDescent="0.3">
      <c r="A25" s="12"/>
      <c r="B25" s="5"/>
      <c r="C25" s="9"/>
      <c r="D25" s="9"/>
      <c r="E25" s="9"/>
      <c r="F25" s="9"/>
      <c r="G25" s="9"/>
      <c r="H25" s="15"/>
      <c r="I25" s="4"/>
    </row>
    <row r="26" spans="1:11" ht="21" x14ac:dyDescent="0.4">
      <c r="A26" s="27"/>
      <c r="B26" s="35" t="s">
        <v>30</v>
      </c>
      <c r="C26" s="17"/>
      <c r="D26" s="17"/>
      <c r="E26" s="17"/>
      <c r="F26" s="17"/>
      <c r="G26" s="17"/>
      <c r="H26" s="17"/>
      <c r="I26" s="4"/>
    </row>
    <row r="27" spans="1:11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11" x14ac:dyDescent="0.3">
      <c r="A28" s="2"/>
      <c r="B28" s="11" t="s">
        <v>22</v>
      </c>
      <c r="C28" s="14"/>
      <c r="D28" s="8"/>
      <c r="E28" s="8"/>
      <c r="F28" s="8"/>
      <c r="G28" s="8"/>
      <c r="H28" s="23">
        <f ca="1">H24*((0.0025*1.233354)/(1.233354-1))</f>
        <v>0</v>
      </c>
      <c r="I28" s="4"/>
    </row>
    <row r="29" spans="1:11" x14ac:dyDescent="0.3">
      <c r="A29" s="2"/>
      <c r="B29" s="41"/>
      <c r="C29" s="41"/>
      <c r="D29" s="41"/>
      <c r="E29" s="41"/>
      <c r="F29" s="41"/>
      <c r="G29" s="41"/>
      <c r="H29" s="45"/>
      <c r="I29" s="41"/>
      <c r="J29" s="41"/>
      <c r="K29" s="41"/>
    </row>
    <row r="30" spans="1:11" x14ac:dyDescent="0.3">
      <c r="A30" s="4"/>
      <c r="H30" s="22"/>
      <c r="I30" s="4"/>
    </row>
    <row r="31" spans="1:11" x14ac:dyDescent="0.3">
      <c r="B31" s="63" t="s">
        <v>26</v>
      </c>
      <c r="C31" s="61" t="str">
        <f>IF(H9="","Confirmation Required",IF(H9="Yes","Guidelines Do Not Accept Assets From Borrowers Not Listed On The Loan",IF(SUM(F15:F17)&lt;500000,"A Minimum of $500,000 Is Required","")))</f>
        <v>Confirmation Required</v>
      </c>
      <c r="D31" s="61"/>
      <c r="E31" s="61"/>
      <c r="F31" s="61"/>
      <c r="G31" s="62"/>
    </row>
    <row r="32" spans="1:11" x14ac:dyDescent="0.3">
      <c r="B32" s="64"/>
      <c r="C32" s="57" t="str">
        <f>IF(H10="","Missing Data Entry is Required",IF(H10="No", "Most Recent 12 Month Account History is Required",""))</f>
        <v>Missing Data Entry is Required</v>
      </c>
      <c r="D32" s="57"/>
      <c r="E32" s="57"/>
      <c r="F32" s="57"/>
      <c r="G32" s="58"/>
    </row>
    <row r="34" spans="2:3" x14ac:dyDescent="0.3">
      <c r="B34" s="6" t="s">
        <v>32</v>
      </c>
      <c r="C34" s="49"/>
    </row>
  </sheetData>
  <sheetProtection algorithmName="SHA-512" hashValue="l6+nQwHGmrdA2pGW/50ltQ9bPOKKVTwvvqdaaCW10GGx1pQUSnee7wOLkCIhH2VzHJBk2hSE/TwG2ZXarR9MqA==" saltValue="2zCqBG4/Bwn9y0EFDelUgQ==" spinCount="100000" sheet="1" selectLockedCells="1"/>
  <protectedRanges>
    <protectedRange sqref="F21" name="Range5"/>
    <protectedRange sqref="G7:H7" name="Range3"/>
    <protectedRange sqref="C7:D9" name="Range1"/>
    <protectedRange sqref="H9:H10" name="Range2"/>
    <protectedRange sqref="F15:F17" name="Range4"/>
  </protectedRanges>
  <mergeCells count="14">
    <mergeCell ref="B1:L1"/>
    <mergeCell ref="G23:H23"/>
    <mergeCell ref="G6:H6"/>
    <mergeCell ref="J3:K3"/>
    <mergeCell ref="J2:K2"/>
    <mergeCell ref="C6:D6"/>
    <mergeCell ref="C7:D7"/>
    <mergeCell ref="G7:H7"/>
    <mergeCell ref="B2:G4"/>
    <mergeCell ref="C32:G32"/>
    <mergeCell ref="C8:D8"/>
    <mergeCell ref="C9:D9"/>
    <mergeCell ref="C31:G31"/>
    <mergeCell ref="B31:B32"/>
  </mergeCells>
  <conditionalFormatting sqref="C14">
    <cfRule type="expression" dxfId="11" priority="21">
      <formula>$G$12="Expense Ratio"</formula>
    </cfRule>
  </conditionalFormatting>
  <conditionalFormatting sqref="H28">
    <cfRule type="containsText" dxfId="10" priority="15" operator="containsText" text="FAIL">
      <formula>NOT(ISERROR(SEARCH("FAIL",H28)))</formula>
    </cfRule>
    <cfRule type="containsText" dxfId="9" priority="16" operator="containsText" text="PASS">
      <formula>NOT(ISERROR(SEARCH("PASS",H28)))</formula>
    </cfRule>
  </conditionalFormatting>
  <conditionalFormatting sqref="H22">
    <cfRule type="containsText" dxfId="8" priority="11" operator="containsText" text="PASS">
      <formula>NOT(ISERROR(SEARCH("PASS",H22)))</formula>
    </cfRule>
    <cfRule type="containsText" dxfId="7" priority="12" operator="containsText" text="FAIL">
      <formula>NOT(ISERROR(SEARCH("FAIL",H22)))</formula>
    </cfRule>
  </conditionalFormatting>
  <conditionalFormatting sqref="J2">
    <cfRule type="cellIs" dxfId="6" priority="7" operator="equal">
      <formula>"No"</formula>
    </cfRule>
    <cfRule type="cellIs" dxfId="5" priority="8" operator="equal">
      <formula>"Yes"</formula>
    </cfRule>
  </conditionalFormatting>
  <conditionalFormatting sqref="H9">
    <cfRule type="containsBlanks" dxfId="4" priority="1">
      <formula>LEN(TRIM(H9))=0</formula>
    </cfRule>
    <cfRule type="containsText" dxfId="3" priority="5" operator="containsText" text="Yes">
      <formula>NOT(ISERROR(SEARCH("Yes",H9)))</formula>
    </cfRule>
  </conditionalFormatting>
  <conditionalFormatting sqref="F15:F17">
    <cfRule type="expression" dxfId="2" priority="4">
      <formula>SUM($F$15:$F$17)&lt;500000</formula>
    </cfRule>
  </conditionalFormatting>
  <conditionalFormatting sqref="H10">
    <cfRule type="containsBlanks" dxfId="1" priority="2">
      <formula>LEN(TRIM(H10))=0</formula>
    </cfRule>
    <cfRule type="containsText" dxfId="0" priority="3" operator="containsText" text="no">
      <formula>NOT(ISERROR(SEARCH("no",H10)))</formula>
    </cfRule>
  </conditionalFormatting>
  <dataValidations count="2">
    <dataValidation type="list" allowBlank="1" showInputMessage="1" showErrorMessage="1" sqref="H12:H13">
      <formula1>"Profit and Loss,Expense Ratio"</formula1>
    </dataValidation>
    <dataValidation type="list" allowBlank="1" showInputMessage="1" showErrorMessage="1" sqref="H9:H10">
      <formula1>"Yes,No"</formula1>
    </dataValidation>
  </dataValidations>
  <pageMargins left="0.25" right="0.25" top="0.75" bottom="0.75" header="0.3" footer="0.3"/>
  <pageSetup scale="80" orientation="portrait" r:id="rId1"/>
  <rowBreaks count="1" manualBreakCount="1">
    <brk id="1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AQ Calculation Tool</vt:lpstr>
      <vt:lpstr>'AQ Calculation Tool'!Print_Area</vt:lpstr>
      <vt:lpstr>'AQ Calculation Tool'!Print_Titles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Fastovsky, Peter</dc:creator>
  <cp:lastModifiedBy>Cheryl Kalinke</cp:lastModifiedBy>
  <cp:lastPrinted>2019-03-25T21:09:48Z</cp:lastPrinted>
  <dcterms:created xsi:type="dcterms:W3CDTF">2019-02-11T14:02:49Z</dcterms:created>
  <dcterms:modified xsi:type="dcterms:W3CDTF">2022-08-10T22:10:33Z</dcterms:modified>
</cp:coreProperties>
</file>