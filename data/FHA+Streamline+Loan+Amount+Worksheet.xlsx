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piBoom\data\"/>
    </mc:Choice>
  </mc:AlternateContent>
  <xr:revisionPtr revIDLastSave="0" documentId="8_{512807F9-7D32-4A8E-912E-7AA18B3B0CAA}" xr6:coauthVersionLast="47" xr6:coauthVersionMax="47" xr10:uidLastSave="{00000000-0000-0000-0000-000000000000}"/>
  <workbookProtection workbookAlgorithmName="SHA-512" workbookHashValue="2o6H8+0c5ZuREoB+nFHaahM6FaANKmrSAloVT0+IUFQEQGNiO2WxJUz9sCiYBI1PGgbyQQr6B4N0X27plgHW1g==" workbookSaltValue="zPMzCgQoIKt3/JSE/2Q7Xw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MIP">Sheet1!$H$22:$H$29</definedName>
    <definedName name="Term">Sheet1!$H$14:$H$15</definedName>
    <definedName name="UFMIP">Sheet1!$H$8:$H$9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8" i="1" l="1"/>
  <c r="G22" i="1"/>
  <c r="G19" i="1"/>
  <c r="G20" i="1" l="1"/>
  <c r="G24" i="1" s="1"/>
  <c r="G33" i="1" s="1"/>
  <c r="G28" i="1" l="1"/>
  <c r="E29" i="1"/>
  <c r="G29" i="1" s="1"/>
  <c r="G30" i="1" l="1"/>
</calcChain>
</file>

<file path=xl/sharedStrings.xml><?xml version="1.0" encoding="utf-8"?>
<sst xmlns="http://schemas.openxmlformats.org/spreadsheetml/2006/main" count="80" uniqueCount="59">
  <si>
    <t>Loan Number:</t>
  </si>
  <si>
    <t>B.</t>
  </si>
  <si>
    <t>Part 1</t>
  </si>
  <si>
    <t>A.</t>
  </si>
  <si>
    <t xml:space="preserve">Original FHA Loan Amount: </t>
  </si>
  <si>
    <t>Original Appraised Value:</t>
  </si>
  <si>
    <t>Original FHA Loan Information (From Refi Authorization)</t>
  </si>
  <si>
    <t>Part 2</t>
  </si>
  <si>
    <t>Existing Payoff Information</t>
  </si>
  <si>
    <t>Unpaid Principal Balance:</t>
  </si>
  <si>
    <t>C.</t>
  </si>
  <si>
    <t>D.</t>
  </si>
  <si>
    <t>+</t>
  </si>
  <si>
    <t>Total Allowable Existing Debt:</t>
  </si>
  <si>
    <t>=</t>
  </si>
  <si>
    <t>Part 3</t>
  </si>
  <si>
    <t>Determine Maximum Base Loan Amount</t>
  </si>
  <si>
    <t xml:space="preserve">Unearned UFMIP (Refund Amount): </t>
  </si>
  <si>
    <t>Total Allowable Existing Debt (Part 2, Step D)</t>
  </si>
  <si>
    <t>-</t>
  </si>
  <si>
    <t>UFMIP Refund (Part 1, Step C)</t>
  </si>
  <si>
    <t>Base Loan Amount By Existing Debt:</t>
  </si>
  <si>
    <t>Original FHA Loan Amount (Part 1, Step B):</t>
  </si>
  <si>
    <t>E</t>
  </si>
  <si>
    <t>(Lessor of Part 3, Step C or Step D)</t>
  </si>
  <si>
    <t>Part 4</t>
  </si>
  <si>
    <t>Determine Maximum Total Loan Amount</t>
  </si>
  <si>
    <t>Total Base Loan Amount (Part 3, Step E):</t>
  </si>
  <si>
    <t>Maximum Total Loan Amount:</t>
  </si>
  <si>
    <t>UFMIP on New Loan:</t>
  </si>
  <si>
    <t>Part 5</t>
  </si>
  <si>
    <t>Determine LTV for Annual MIP Factor</t>
  </si>
  <si>
    <t>Total Base Loan Amount / Original Appraised Value</t>
  </si>
  <si>
    <t>Term: 15 Year?</t>
  </si>
  <si>
    <t xml:space="preserve">C. </t>
  </si>
  <si>
    <t>TERM</t>
  </si>
  <si>
    <t>BASE LOAN AMOUNT</t>
  </si>
  <si>
    <t>Case Number:</t>
  </si>
  <si>
    <t>LTV</t>
  </si>
  <si>
    <t>MIP FACOR</t>
  </si>
  <si>
    <t>Less than or equal to $625,500</t>
  </si>
  <si>
    <t>&lt; or = 95%</t>
  </si>
  <si>
    <t>&gt; 95%</t>
  </si>
  <si>
    <t>Greater than $625,500</t>
  </si>
  <si>
    <t>More than 15 years</t>
  </si>
  <si>
    <t>Less than or equal to 15 years</t>
  </si>
  <si>
    <t>&lt; or = 90%</t>
  </si>
  <si>
    <t>&gt; 90%</t>
  </si>
  <si>
    <t>&lt; or = 78%</t>
  </si>
  <si>
    <t>MIP Factor Verified by UW From Chart Below</t>
  </si>
  <si>
    <t>Annual Mortgage Insurance Premium (MIP) Chart</t>
  </si>
  <si>
    <t>Borrower:</t>
  </si>
  <si>
    <t>Completed By: Name, and Date</t>
  </si>
  <si>
    <r>
      <t xml:space="preserve">**Complete Fields in </t>
    </r>
    <r>
      <rPr>
        <u/>
        <sz val="6"/>
        <color theme="4" tint="-0.249977111117893"/>
        <rFont val="Calibri"/>
        <family val="2"/>
        <scheme val="minor"/>
      </rPr>
      <t>blue</t>
    </r>
  </si>
  <si>
    <r>
      <t xml:space="preserve">Maximum Total </t>
    </r>
    <r>
      <rPr>
        <b/>
        <u/>
        <sz val="11"/>
        <rFont val="Calibri"/>
        <family val="2"/>
        <scheme val="minor"/>
      </rPr>
      <t>Base</t>
    </r>
    <r>
      <rPr>
        <b/>
        <sz val="11"/>
        <color theme="1"/>
        <rFont val="Calibri"/>
        <family val="2"/>
        <scheme val="minor"/>
      </rPr>
      <t xml:space="preserve"> Loan Amount</t>
    </r>
  </si>
  <si>
    <r>
      <t xml:space="preserve">**If the existing FHA loan (to be paid off) was endorsed </t>
    </r>
    <r>
      <rPr>
        <b/>
        <i/>
        <u/>
        <sz val="7"/>
        <rFont val="Calibri"/>
        <family val="2"/>
        <scheme val="minor"/>
      </rPr>
      <t>on or before 5/31/2009</t>
    </r>
    <r>
      <rPr>
        <b/>
        <sz val="7"/>
        <rFont val="Calibri"/>
        <family val="2"/>
        <scheme val="minor"/>
      </rPr>
      <t xml:space="preserve"> the Annual MIP is </t>
    </r>
    <r>
      <rPr>
        <b/>
        <sz val="7"/>
        <color rgb="FFFF0000"/>
        <rFont val="Calibri"/>
        <family val="2"/>
        <scheme val="minor"/>
      </rPr>
      <t>0.55%</t>
    </r>
    <r>
      <rPr>
        <b/>
        <sz val="7"/>
        <rFont val="Calibri"/>
        <family val="2"/>
        <scheme val="minor"/>
      </rPr>
      <t xml:space="preserve"> regardless of loan amount, term, or LTV**</t>
    </r>
  </si>
  <si>
    <t>Interest: Up to 60 Days (Primary Residence only):</t>
  </si>
  <si>
    <t>MIP: Up to 60 Days (Primary Residence only):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</si>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</sst>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6"/>
      <color theme="4" tint="-0.249977111117893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i/>
      <u/>
      <sz val="7"/>
      <name val="Calibri"/>
      <family val="2"/>
      <scheme val="minor"/>
    </font>
    <font>
      <b/>
      <sz val="7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8A9C5"/>
        <bgColor indexed="64"/>
      </patternFill>
    </fill>
    <fill>
      <patternFill patternType="solid">
        <fgColor rgb="FF9BD3DD"/>
        <bgColor indexed="64"/>
      </patternFill>
    </fill>
    <fill>
      <patternFill patternType="solid">
        <fgColor rgb="FFBBDDE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0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8" xfId="0" applyFont="1" applyFill="1" applyBorder="1"/>
    <xf numFmtId="0" fontId="1" fillId="5" borderId="2" xfId="0" applyFont="1" applyFill="1" applyBorder="1"/>
    <xf numFmtId="0" fontId="0" fillId="0" borderId="9" xfId="0" applyBorder="1" applyAlignment="1">
      <alignment horizontal="center"/>
    </xf>
    <xf numFmtId="0" fontId="0" fillId="0" borderId="9" xfId="0" applyBorder="1"/>
    <xf numFmtId="8" fontId="0" fillId="7" borderId="3" xfId="0" applyNumberFormat="1" applyFill="1" applyBorder="1" applyProtection="1">
      <protection locked="0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1" fillId="5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8" fontId="0" fillId="7" borderId="3" xfId="0" applyNumberFormat="1" applyFill="1" applyBorder="1" applyAlignment="1" applyProtection="1">
      <alignment horizontal="right"/>
      <protection locked="0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right"/>
    </xf>
    <xf numFmtId="8" fontId="0" fillId="0" borderId="3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8" fontId="0" fillId="0" borderId="6" xfId="0" applyNumberFormat="1" applyBorder="1" applyAlignment="1">
      <alignment horizontal="right"/>
    </xf>
    <xf numFmtId="0" fontId="1" fillId="0" borderId="9" xfId="0" applyFont="1" applyBorder="1"/>
    <xf numFmtId="8" fontId="1" fillId="0" borderId="6" xfId="0" applyNumberFormat="1" applyFont="1" applyBorder="1" applyAlignment="1">
      <alignment horizontal="right"/>
    </xf>
    <xf numFmtId="8" fontId="0" fillId="0" borderId="3" xfId="0" applyNumberFormat="1" applyBorder="1"/>
    <xf numFmtId="10" fontId="0" fillId="2" borderId="3" xfId="0" applyNumberFormat="1" applyFill="1" applyBorder="1" applyProtection="1">
      <protection locked="0" hidden="1"/>
    </xf>
    <xf numFmtId="8" fontId="0" fillId="0" borderId="0" xfId="0" applyNumberFormat="1"/>
    <xf numFmtId="6" fontId="0" fillId="0" borderId="3" xfId="0" applyNumberFormat="1" applyBorder="1"/>
    <xf numFmtId="0" fontId="1" fillId="0" borderId="7" xfId="0" applyFont="1" applyBorder="1"/>
    <xf numFmtId="8" fontId="1" fillId="0" borderId="3" xfId="0" applyNumberFormat="1" applyFont="1" applyBorder="1"/>
    <xf numFmtId="10" fontId="1" fillId="5" borderId="4" xfId="0" applyNumberFormat="1" applyFont="1" applyFill="1" applyBorder="1"/>
    <xf numFmtId="10" fontId="1" fillId="0" borderId="3" xfId="0" applyNumberFormat="1" applyFont="1" applyBorder="1"/>
    <xf numFmtId="0" fontId="0" fillId="0" borderId="3" xfId="0" applyBorder="1" applyAlignment="1">
      <alignment horizontal="center"/>
    </xf>
    <xf numFmtId="0" fontId="0" fillId="7" borderId="3" xfId="0" applyFill="1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8" xfId="0" applyBorder="1"/>
    <xf numFmtId="10" fontId="0" fillId="7" borderId="3" xfId="0" applyNumberFormat="1" applyFill="1" applyBorder="1" applyProtection="1">
      <protection locked="0"/>
    </xf>
    <xf numFmtId="0" fontId="7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10" fontId="8" fillId="0" borderId="3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2" xfId="0" applyBorder="1"/>
    <xf numFmtId="0" fontId="1" fillId="6" borderId="8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5" borderId="8" xfId="0" applyFont="1" applyFill="1" applyBorder="1"/>
    <xf numFmtId="0" fontId="1" fillId="5" borderId="2" xfId="0" applyFont="1" applyFill="1" applyBorder="1"/>
    <xf numFmtId="0" fontId="1" fillId="5" borderId="4" xfId="0" applyFont="1" applyFill="1" applyBorder="1"/>
    <xf numFmtId="0" fontId="0" fillId="7" borderId="1" xfId="0" applyFill="1" applyBorder="1" applyAlignment="1" applyProtection="1">
      <alignment horizontal="left"/>
      <protection locked="0"/>
    </xf>
    <xf numFmtId="0" fontId="7" fillId="4" borderId="8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DDE6"/>
      <color rgb="FF9BD3DD"/>
      <color rgb="FF006A8E"/>
      <color rgb="FF48A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4"/>
  <sheetViews>
    <sheetView showGridLines="0" showRowColHeaders="0" tabSelected="1" showRuler="0" view="pageLayout" zoomScale="55" zoomScaleNormal="100" zoomScaleSheetLayoutView="115" zoomScalePageLayoutView="55" workbookViewId="0">
      <selection activeCell="D2" sqref="D2:F2"/>
    </sheetView>
  </sheetViews>
  <sheetFormatPr defaultRowHeight="15" x14ac:dyDescent="0.25"/>
  <cols>
    <col min="2" max="2" width="7" customWidth="1"/>
    <col min="3" max="3" width="11.85546875" customWidth="1"/>
    <col min="5" max="5" width="14" customWidth="1"/>
    <col min="6" max="6" width="40.28515625" customWidth="1"/>
    <col min="7" max="7" width="16" customWidth="1"/>
    <col min="8" max="8" width="8.7109375" customWidth="1"/>
  </cols>
  <sheetData>
    <row r="2" spans="1:8" ht="23.85" customHeight="1" x14ac:dyDescent="0.25">
      <c r="A2" s="8"/>
      <c r="B2" s="53" t="s">
        <v>51</v>
      </c>
      <c r="C2" s="53"/>
      <c r="D2" s="63"/>
      <c r="E2" s="63"/>
      <c r="F2" s="63"/>
    </row>
    <row r="3" spans="1:8" ht="23.85" customHeight="1" x14ac:dyDescent="0.25">
      <c r="A3" s="8"/>
      <c r="B3" s="53" t="s">
        <v>0</v>
      </c>
      <c r="C3" s="53"/>
      <c r="D3" s="63"/>
      <c r="E3" s="63"/>
      <c r="F3" s="63"/>
    </row>
    <row r="4" spans="1:8" ht="23.85" customHeight="1" x14ac:dyDescent="0.25">
      <c r="A4" s="9"/>
      <c r="B4" s="53" t="s">
        <v>37</v>
      </c>
      <c r="C4" s="53"/>
      <c r="D4" s="63"/>
      <c r="E4" s="63"/>
      <c r="F4" s="63"/>
    </row>
    <row r="5" spans="1:8" x14ac:dyDescent="0.25">
      <c r="A5" s="58" t="s">
        <v>53</v>
      </c>
      <c r="B5" s="59"/>
      <c r="C5" s="59"/>
      <c r="D5" s="59"/>
      <c r="E5" s="59"/>
      <c r="F5" s="59"/>
      <c r="G5" s="59"/>
    </row>
    <row r="6" spans="1:8" x14ac:dyDescent="0.25">
      <c r="A6" s="16" t="s">
        <v>2</v>
      </c>
      <c r="B6" s="60" t="s">
        <v>6</v>
      </c>
      <c r="C6" s="61"/>
      <c r="D6" s="61"/>
      <c r="E6" s="61"/>
      <c r="F6" s="61"/>
      <c r="G6" s="62"/>
    </row>
    <row r="7" spans="1:8" x14ac:dyDescent="0.25">
      <c r="A7" s="19" t="s">
        <v>3</v>
      </c>
      <c r="B7" s="20" t="s">
        <v>5</v>
      </c>
      <c r="G7" s="21"/>
      <c r="H7" s="4"/>
    </row>
    <row r="8" spans="1:8" x14ac:dyDescent="0.25">
      <c r="A8" s="19" t="s">
        <v>1</v>
      </c>
      <c r="B8" s="20" t="s">
        <v>4</v>
      </c>
      <c r="G8" s="21">
        <v>222</v>
      </c>
      <c r="H8" s="1"/>
    </row>
    <row r="9" spans="1:8" x14ac:dyDescent="0.25">
      <c r="A9" s="22" t="s">
        <v>10</v>
      </c>
      <c r="B9" s="23" t="s">
        <v>17</v>
      </c>
      <c r="C9" s="24"/>
      <c r="D9" s="24"/>
      <c r="E9" s="24"/>
      <c r="F9" s="24"/>
      <c r="G9" s="21">
        <v>222</v>
      </c>
      <c r="H9" s="1"/>
    </row>
    <row r="10" spans="1:8" x14ac:dyDescent="0.25">
      <c r="A10" s="10"/>
      <c r="B10" s="11"/>
      <c r="G10" s="11"/>
      <c r="H10" s="3"/>
    </row>
    <row r="11" spans="1:8" x14ac:dyDescent="0.25">
      <c r="A11" s="25" t="s">
        <v>7</v>
      </c>
      <c r="B11" s="60" t="s">
        <v>8</v>
      </c>
      <c r="C11" s="61"/>
      <c r="D11" s="61"/>
      <c r="E11" s="61"/>
      <c r="F11" s="61"/>
      <c r="G11" s="62"/>
      <c r="H11" s="3"/>
    </row>
    <row r="12" spans="1:8" x14ac:dyDescent="0.25">
      <c r="A12" s="19" t="s">
        <v>3</v>
      </c>
      <c r="B12" s="20" t="s">
        <v>9</v>
      </c>
      <c r="G12" s="21">
        <v>222</v>
      </c>
      <c r="H12" s="3"/>
    </row>
    <row r="13" spans="1:8" x14ac:dyDescent="0.25">
      <c r="A13" s="19" t="s">
        <v>1</v>
      </c>
      <c r="B13" s="20" t="s">
        <v>56</v>
      </c>
      <c r="F13" s="26" t="s">
        <v>12</v>
      </c>
      <c r="G13" s="27">
        <v>22</v>
      </c>
      <c r="H13" s="4"/>
    </row>
    <row r="14" spans="1:8" x14ac:dyDescent="0.25">
      <c r="A14" s="19" t="s">
        <v>10</v>
      </c>
      <c r="B14" s="20" t="s">
        <v>57</v>
      </c>
      <c r="F14" s="26" t="s">
        <v>12</v>
      </c>
      <c r="G14" s="27"/>
      <c r="H14" s="4"/>
    </row>
    <row r="15" spans="1:8" x14ac:dyDescent="0.25">
      <c r="A15" s="28" t="s">
        <v>11</v>
      </c>
      <c r="B15" s="23" t="s">
        <v>13</v>
      </c>
      <c r="C15" s="24"/>
      <c r="D15" s="24"/>
      <c r="E15" s="24"/>
      <c r="F15" s="29" t="s">
        <v>14</v>
      </c>
      <c r="G15" s="30">
        <f>SUM(G12:G14)</f>
        <v>244</v>
      </c>
      <c r="H15" s="4"/>
    </row>
    <row r="16" spans="1:8" x14ac:dyDescent="0.25">
      <c r="A16" s="12"/>
      <c r="B16" s="11"/>
      <c r="G16" s="13"/>
    </row>
    <row r="17" spans="1:8" x14ac:dyDescent="0.25">
      <c r="A17" s="16" t="s">
        <v>15</v>
      </c>
      <c r="B17" s="60" t="s">
        <v>16</v>
      </c>
      <c r="C17" s="61"/>
      <c r="D17" s="61"/>
      <c r="E17" s="61"/>
      <c r="F17" s="61"/>
      <c r="G17" s="62"/>
    </row>
    <row r="18" spans="1:8" x14ac:dyDescent="0.25">
      <c r="A18" s="19" t="s">
        <v>3</v>
      </c>
      <c r="B18" s="20" t="s">
        <v>18</v>
      </c>
      <c r="F18" s="26"/>
      <c r="G18" s="30">
        <f>G15</f>
        <v>244</v>
      </c>
    </row>
    <row r="19" spans="1:8" x14ac:dyDescent="0.25">
      <c r="A19" s="19" t="s">
        <v>1</v>
      </c>
      <c r="B19" s="20" t="s">
        <v>20</v>
      </c>
      <c r="F19" s="26" t="s">
        <v>19</v>
      </c>
      <c r="G19" s="30">
        <f>G9</f>
        <v>222</v>
      </c>
    </row>
    <row r="20" spans="1:8" x14ac:dyDescent="0.25">
      <c r="A20" s="19" t="s">
        <v>10</v>
      </c>
      <c r="B20" s="20" t="s">
        <v>21</v>
      </c>
      <c r="F20" s="26" t="s">
        <v>14</v>
      </c>
      <c r="G20" s="30">
        <f>SUM(G18-G19)</f>
        <v>22</v>
      </c>
    </row>
    <row r="21" spans="1:8" x14ac:dyDescent="0.25">
      <c r="A21" s="19"/>
      <c r="B21" s="20"/>
      <c r="G21" s="31"/>
      <c r="H21" s="3"/>
    </row>
    <row r="22" spans="1:8" x14ac:dyDescent="0.25">
      <c r="A22" s="19" t="s">
        <v>11</v>
      </c>
      <c r="B22" s="20" t="s">
        <v>22</v>
      </c>
      <c r="G22" s="32">
        <f>G8</f>
        <v>222</v>
      </c>
      <c r="H22" s="7"/>
    </row>
    <row r="23" spans="1:8" x14ac:dyDescent="0.25">
      <c r="A23" s="19"/>
      <c r="B23" s="20"/>
      <c r="G23" s="31"/>
      <c r="H23" s="7"/>
    </row>
    <row r="24" spans="1:8" x14ac:dyDescent="0.25">
      <c r="A24" s="19" t="s">
        <v>23</v>
      </c>
      <c r="B24" s="33" t="s">
        <v>54</v>
      </c>
      <c r="G24" s="34">
        <f>ROUNDDOWN(MIN(G20,G22),0)</f>
        <v>22</v>
      </c>
      <c r="H24" s="7"/>
    </row>
    <row r="25" spans="1:8" x14ac:dyDescent="0.25">
      <c r="A25" s="28"/>
      <c r="B25" s="23" t="s">
        <v>24</v>
      </c>
      <c r="C25" s="24"/>
      <c r="D25" s="24"/>
      <c r="E25" s="24"/>
      <c r="F25" s="24"/>
      <c r="G25" s="32"/>
      <c r="H25" s="7"/>
    </row>
    <row r="26" spans="1:8" x14ac:dyDescent="0.25">
      <c r="A26" s="14"/>
      <c r="B26" s="11"/>
      <c r="G26" s="11"/>
      <c r="H26" s="7"/>
    </row>
    <row r="27" spans="1:8" x14ac:dyDescent="0.25">
      <c r="A27" s="16" t="s">
        <v>25</v>
      </c>
      <c r="B27" s="60" t="s">
        <v>26</v>
      </c>
      <c r="C27" s="61"/>
      <c r="D27" s="61"/>
      <c r="E27" s="61"/>
      <c r="F27" s="61"/>
      <c r="G27" s="62"/>
      <c r="H27" s="7"/>
    </row>
    <row r="28" spans="1:8" x14ac:dyDescent="0.25">
      <c r="A28" s="19" t="s">
        <v>3</v>
      </c>
      <c r="B28" s="20" t="s">
        <v>27</v>
      </c>
      <c r="G28" s="35">
        <f>G24</f>
        <v>22</v>
      </c>
      <c r="H28" s="7"/>
    </row>
    <row r="29" spans="1:8" x14ac:dyDescent="0.25">
      <c r="A29" s="19" t="s">
        <v>1</v>
      </c>
      <c r="B29" s="20" t="s">
        <v>29</v>
      </c>
      <c r="D29" s="36">
        <v>1.7500000000000002E-2</v>
      </c>
      <c r="E29" s="37">
        <f>G24*D29</f>
        <v>0.38500000000000001</v>
      </c>
      <c r="F29" s="26" t="s">
        <v>12</v>
      </c>
      <c r="G29" s="38">
        <f>ROUNDDOWN(E29,0)</f>
        <v>0</v>
      </c>
      <c r="H29" s="7"/>
    </row>
    <row r="30" spans="1:8" x14ac:dyDescent="0.25">
      <c r="A30" s="28" t="s">
        <v>10</v>
      </c>
      <c r="B30" s="39" t="s">
        <v>28</v>
      </c>
      <c r="C30" s="24"/>
      <c r="D30" s="24"/>
      <c r="E30" s="24"/>
      <c r="F30" s="29" t="s">
        <v>14</v>
      </c>
      <c r="G30" s="40">
        <f>SUM(G28:G29)</f>
        <v>22</v>
      </c>
    </row>
    <row r="31" spans="1:8" x14ac:dyDescent="0.25">
      <c r="A31" s="14"/>
      <c r="B31" s="11"/>
      <c r="G31" s="11"/>
    </row>
    <row r="32" spans="1:8" x14ac:dyDescent="0.25">
      <c r="A32" s="16" t="s">
        <v>30</v>
      </c>
      <c r="B32" s="17" t="s">
        <v>31</v>
      </c>
      <c r="C32" s="18"/>
      <c r="D32" s="18"/>
      <c r="E32" s="18"/>
      <c r="F32" s="18"/>
      <c r="G32" s="41"/>
    </row>
    <row r="33" spans="1:7" x14ac:dyDescent="0.25">
      <c r="A33" s="28" t="s">
        <v>3</v>
      </c>
      <c r="B33" s="23" t="s">
        <v>32</v>
      </c>
      <c r="C33" s="24"/>
      <c r="D33" s="24"/>
      <c r="E33" s="24"/>
      <c r="F33" s="24"/>
      <c r="G33" s="42" t="e">
        <f>G24/G7</f>
        <v>#DIV/0!</v>
      </c>
    </row>
    <row r="34" spans="1:7" x14ac:dyDescent="0.25">
      <c r="A34" s="43" t="s">
        <v>1</v>
      </c>
      <c r="B34" s="11" t="s">
        <v>33</v>
      </c>
      <c r="C34" s="11"/>
      <c r="D34" s="54"/>
      <c r="E34" s="54"/>
      <c r="F34" s="11"/>
      <c r="G34" s="44" t="s">
        <v>58</v>
      </c>
    </row>
    <row r="35" spans="1:7" x14ac:dyDescent="0.25">
      <c r="A35" s="45" t="s">
        <v>34</v>
      </c>
      <c r="B35" s="46" t="s">
        <v>49</v>
      </c>
      <c r="C35" s="11"/>
      <c r="D35" s="11"/>
      <c r="E35" s="11"/>
      <c r="F35" s="11"/>
      <c r="G35" s="47">
        <v>4.4999999999999997E-3</v>
      </c>
    </row>
    <row r="37" spans="1:7" x14ac:dyDescent="0.25">
      <c r="A37" s="55" t="s">
        <v>50</v>
      </c>
      <c r="B37" s="56"/>
      <c r="C37" s="56"/>
      <c r="D37" s="56"/>
      <c r="E37" s="57"/>
      <c r="F37" s="6"/>
      <c r="G37" s="5"/>
    </row>
    <row r="38" spans="1:7" x14ac:dyDescent="0.25">
      <c r="A38" s="48" t="s">
        <v>35</v>
      </c>
      <c r="B38" s="64" t="s">
        <v>36</v>
      </c>
      <c r="C38" s="65"/>
      <c r="D38" s="48" t="s">
        <v>38</v>
      </c>
      <c r="E38" s="48" t="s">
        <v>39</v>
      </c>
    </row>
    <row r="39" spans="1:7" x14ac:dyDescent="0.25">
      <c r="A39" s="72" t="s">
        <v>44</v>
      </c>
      <c r="B39" s="73" t="s">
        <v>40</v>
      </c>
      <c r="C39" s="73"/>
      <c r="D39" s="50" t="s">
        <v>41</v>
      </c>
      <c r="E39" s="51">
        <v>8.0000000000000002E-3</v>
      </c>
    </row>
    <row r="40" spans="1:7" x14ac:dyDescent="0.25">
      <c r="A40" s="72"/>
      <c r="B40" s="73"/>
      <c r="C40" s="73"/>
      <c r="D40" s="50" t="s">
        <v>42</v>
      </c>
      <c r="E40" s="51">
        <v>8.5000000000000006E-3</v>
      </c>
    </row>
    <row r="41" spans="1:7" x14ac:dyDescent="0.25">
      <c r="A41" s="72"/>
      <c r="B41" s="72" t="s">
        <v>43</v>
      </c>
      <c r="C41" s="72"/>
      <c r="D41" s="50" t="s">
        <v>41</v>
      </c>
      <c r="E41" s="51">
        <v>0.01</v>
      </c>
    </row>
    <row r="42" spans="1:7" x14ac:dyDescent="0.25">
      <c r="A42" s="72"/>
      <c r="B42" s="72"/>
      <c r="C42" s="72"/>
      <c r="D42" s="50" t="s">
        <v>42</v>
      </c>
      <c r="E42" s="51">
        <v>1.0500000000000001E-2</v>
      </c>
    </row>
    <row r="43" spans="1:7" ht="15" customHeight="1" x14ac:dyDescent="0.25">
      <c r="A43" s="72" t="s">
        <v>45</v>
      </c>
      <c r="B43" s="73" t="s">
        <v>40</v>
      </c>
      <c r="C43" s="73"/>
      <c r="D43" s="50" t="s">
        <v>46</v>
      </c>
      <c r="E43" s="51">
        <v>4.4999999999999997E-3</v>
      </c>
    </row>
    <row r="44" spans="1:7" x14ac:dyDescent="0.25">
      <c r="A44" s="72"/>
      <c r="B44" s="73"/>
      <c r="C44" s="73"/>
      <c r="D44" s="49" t="s">
        <v>47</v>
      </c>
      <c r="E44" s="51">
        <v>7.0000000000000001E-3</v>
      </c>
    </row>
    <row r="45" spans="1:7" ht="15" customHeight="1" x14ac:dyDescent="0.25">
      <c r="A45" s="72"/>
      <c r="B45" s="72" t="s">
        <v>43</v>
      </c>
      <c r="C45" s="72"/>
      <c r="D45" s="49" t="s">
        <v>48</v>
      </c>
      <c r="E45" s="51">
        <v>4.4999999999999997E-3</v>
      </c>
    </row>
    <row r="46" spans="1:7" x14ac:dyDescent="0.25">
      <c r="A46" s="72"/>
      <c r="B46" s="72"/>
      <c r="C46" s="72"/>
      <c r="D46" s="49"/>
      <c r="E46" s="51">
        <v>7.0000000000000001E-3</v>
      </c>
    </row>
    <row r="47" spans="1:7" x14ac:dyDescent="0.25">
      <c r="A47" s="72"/>
      <c r="B47" s="72"/>
      <c r="C47" s="72"/>
      <c r="D47" s="49" t="s">
        <v>47</v>
      </c>
      <c r="E47" s="51">
        <v>9.4999999999999998E-3</v>
      </c>
    </row>
    <row r="48" spans="1:7" x14ac:dyDescent="0.25">
      <c r="A48" s="66" t="s">
        <v>55</v>
      </c>
      <c r="B48" s="67"/>
      <c r="C48" s="67"/>
      <c r="D48" s="67"/>
      <c r="E48" s="68"/>
    </row>
    <row r="49" spans="1:7" x14ac:dyDescent="0.25">
      <c r="A49" s="69"/>
      <c r="B49" s="70"/>
      <c r="C49" s="70"/>
      <c r="D49" s="70"/>
      <c r="E49" s="71"/>
      <c r="G49" s="2"/>
    </row>
    <row r="53" spans="1:7" x14ac:dyDescent="0.25">
      <c r="F53" s="15"/>
    </row>
    <row r="54" spans="1:7" x14ac:dyDescent="0.25">
      <c r="F54" s="52" t="s">
        <v>52</v>
      </c>
      <c r="G54" s="52"/>
    </row>
  </sheetData>
  <sheetProtection algorithmName="SHA-512" hashValue="7kdMClemzV3TErsg12i5Ky7TPj5HHb2f+PzMKx/PAztho/RfgOaaDKSPdQmwiEa+0xXGXUAbWH4mCodZu7d5mQ==" saltValue="/ntugVkzBMBdHD6vX/PSfg==" spinCount="100000" sheet="1" objects="1" scenarios="1" selectLockedCells="1"/>
  <dataConsolidate/>
  <mergeCells count="22">
    <mergeCell ref="A39:A42"/>
    <mergeCell ref="B43:C44"/>
    <mergeCell ref="A43:A47"/>
    <mergeCell ref="B45:C47"/>
    <mergeCell ref="B39:C40"/>
    <mergeCell ref="B41:C42"/>
    <mergeCell ref="F54:G54"/>
    <mergeCell ref="B2:C2"/>
    <mergeCell ref="B3:C3"/>
    <mergeCell ref="B4:C4"/>
    <mergeCell ref="D34:E34"/>
    <mergeCell ref="A37:E37"/>
    <mergeCell ref="A5:G5"/>
    <mergeCell ref="B27:G27"/>
    <mergeCell ref="B6:G6"/>
    <mergeCell ref="B11:G11"/>
    <mergeCell ref="B17:G17"/>
    <mergeCell ref="D2:F2"/>
    <mergeCell ref="D3:F3"/>
    <mergeCell ref="D4:F4"/>
    <mergeCell ref="B38:C38"/>
    <mergeCell ref="A48:E49"/>
  </mergeCells>
  <dataValidations count="3">
    <dataValidation type="list" allowBlank="1" showInputMessage="1" showErrorMessage="1" errorTitle="INVALID SELECTION" error="MUST SELECT FROM THE DROP DOWN" promptTitle="UFMIP" prompt="0.01% should be selected only if existing FHA loan was endorsed ON or BEFORE 05/31/2009" sqref="D29" xr:uid="{00000000-0002-0000-0000-000000000000}">
      <formula1>"1.75%,0.01%"</formula1>
    </dataValidation>
    <dataValidation type="list" allowBlank="1" showInputMessage="1" showErrorMessage="1" errorTitle="INVALID ENTRY" error="Must select from drop down" promptTitle="SELECT" prompt="Valid entries &quot;YES&quot; or &quot;NO&quot;" sqref="G34" xr:uid="{00000000-0002-0000-0000-000001000000}">
      <formula1>"YES,NO"</formula1>
    </dataValidation>
    <dataValidation type="list" allowBlank="1" showInputMessage="1" showErrorMessage="1" errorTitle="INVALID ENTRY" error="MUST SELECT OPTION FROM DROP DOWN LIST" promptTitle="SELECT FROM LIST" prompt="UW must validate MIP factor based on Loan Amount, Term, and LTV" sqref="G35" xr:uid="{00000000-0002-0000-0000-000002000000}">
      <formula1>"0.80%,0.85%,1.00%,1.05%,0.45%,0.70%,0.95%,0.55%"</formula1>
    </dataValidation>
  </dataValidations>
  <pageMargins left="0.7" right="0.7" top="0.75" bottom="0.75" header="0.3" footer="0.3"/>
  <pageSetup scale="84" orientation="portrait" r:id="rId1"/>
  <headerFooter>
    <oddHeader>&amp;L&amp;G&amp;C&amp;"-,Bold"FHA Streamline Refinance      
Loan Amount Worksheet</oddHeader>
    <oddFooter>&amp;R&amp;8Rev. 12/1/2015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MIP</vt:lpstr>
      <vt:lpstr>Term</vt:lpstr>
      <vt:lpstr>UFMIP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Rocha</dc:creator>
  <cp:lastModifiedBy>David Lane</cp:lastModifiedBy>
  <cp:lastPrinted>2015-11-26T01:38:02Z</cp:lastPrinted>
  <dcterms:created xsi:type="dcterms:W3CDTF">2015-11-18T01:54:13Z</dcterms:created>
  <dcterms:modified xsi:type="dcterms:W3CDTF">2025-10-31T04:58:49Z</dcterms:modified>
</cp:coreProperties>
</file>